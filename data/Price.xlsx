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tudk.sharepoint.com/sites/RenewablesinElectricityMarket_57j4er/Delte dokumenter/General/"/>
    </mc:Choice>
  </mc:AlternateContent>
  <xr:revisionPtr revIDLastSave="91" documentId="8_{4BC09A3A-2372-4EBE-809A-93C1CDC9DEB1}" xr6:coauthVersionLast="47" xr6:coauthVersionMax="47" xr10:uidLastSave="{14E1360C-C184-479D-98E7-A6885AE19D9B}"/>
  <bookViews>
    <workbookView xWindow="-108" yWindow="-108" windowWidth="23256" windowHeight="14616" activeTab="2" xr2:uid="{5472AE0E-E38C-4318-9A65-FE1B72A817BC}"/>
  </bookViews>
  <sheets>
    <sheet name="NodeLocationandDistributionofth" sheetId="1" r:id="rId1"/>
    <sheet name="LoadProfile-Table3" sheetId="2" r:id="rId2"/>
    <sheet name="Sheet3" sheetId="3" r:id="rId3"/>
    <sheet name="Sheet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F3" i="3" s="1"/>
  <c r="G4" i="3" s="1"/>
  <c r="H6" i="3"/>
  <c r="H4" i="3"/>
  <c r="H7" i="3"/>
  <c r="H8" i="3"/>
  <c r="H10" i="3"/>
  <c r="H11" i="3"/>
  <c r="H12" i="3"/>
  <c r="H14" i="3"/>
  <c r="H15" i="3"/>
  <c r="H16" i="3"/>
  <c r="H18" i="3"/>
  <c r="H19" i="3"/>
  <c r="H20" i="3"/>
  <c r="H22" i="3"/>
  <c r="H23" i="3"/>
  <c r="H24" i="3"/>
  <c r="H3" i="3"/>
  <c r="E14" i="3"/>
  <c r="E11" i="3"/>
  <c r="E8" i="3"/>
  <c r="E5" i="3"/>
  <c r="E18" i="3"/>
  <c r="E15" i="3"/>
  <c r="E12" i="3"/>
  <c r="E9" i="3"/>
  <c r="E6" i="3"/>
  <c r="E4" i="3"/>
  <c r="E19" i="3"/>
  <c r="E16" i="3"/>
  <c r="E13" i="3"/>
  <c r="E10" i="3"/>
  <c r="E7" i="3"/>
  <c r="E17" i="3"/>
  <c r="E21" i="3" l="1"/>
  <c r="F4" i="3"/>
  <c r="G6" i="3" s="1"/>
  <c r="G5" i="3" s="1"/>
  <c r="F5" i="3" l="1"/>
  <c r="F6" i="3" s="1"/>
  <c r="G7" i="3" l="1"/>
  <c r="F7" i="3"/>
  <c r="G8" i="3"/>
  <c r="F8" i="3" l="1"/>
  <c r="G10" i="3"/>
  <c r="G9" i="3" s="1"/>
  <c r="F9" i="3" l="1"/>
  <c r="G11" i="3"/>
  <c r="F10" i="3" l="1"/>
  <c r="G12" i="3"/>
  <c r="F11" i="3" l="1"/>
  <c r="G14" i="3"/>
  <c r="G13" i="3" s="1"/>
  <c r="F12" i="3" l="1"/>
  <c r="G15" i="3"/>
  <c r="F13" i="3" l="1"/>
  <c r="G16" i="3"/>
  <c r="F14" i="3" l="1"/>
  <c r="G18" i="3"/>
  <c r="G17" i="3" s="1"/>
  <c r="F15" i="3" l="1"/>
  <c r="G19" i="3"/>
  <c r="F16" i="3" l="1"/>
  <c r="G20" i="3"/>
  <c r="F17" i="3" l="1"/>
  <c r="G22" i="3"/>
  <c r="G21" i="3" s="1"/>
  <c r="F18" i="3" l="1"/>
  <c r="G23" i="3"/>
  <c r="F19" i="3" l="1"/>
  <c r="G24" i="3"/>
</calcChain>
</file>

<file path=xl/sharedStrings.xml><?xml version="1.0" encoding="utf-8"?>
<sst xmlns="http://schemas.openxmlformats.org/spreadsheetml/2006/main" count="22" uniqueCount="15">
  <si>
    <t>Load</t>
  </si>
  <si>
    <t>Node</t>
  </si>
  <si>
    <t>Percent</t>
  </si>
  <si>
    <t>Price</t>
  </si>
  <si>
    <t>Hour</t>
  </si>
  <si>
    <t>Demand</t>
  </si>
  <si>
    <t>Price (A)</t>
  </si>
  <si>
    <t>Cumulative Demand</t>
  </si>
  <si>
    <t>Starting point demand from cumulative</t>
  </si>
  <si>
    <t>D #</t>
  </si>
  <si>
    <t>G #</t>
  </si>
  <si>
    <t>W #</t>
  </si>
  <si>
    <t>5,6</t>
  </si>
  <si>
    <t>11,12</t>
  </si>
  <si>
    <t>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</si>
</sst>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Sheet3!$G$3:$G$24</c:f>
              <c:numCache>
                <c:formatCode>General</c:formatCode>
                <c:ptCount val="22"/>
                <c:pt idx="0">
                  <c:v>0</c:v>
                </c:pt>
                <c:pt idx="1">
                  <c:v>113.65344</c:v>
                </c:pt>
                <c:pt idx="2">
                  <c:v>191.79018000000002</c:v>
                </c:pt>
                <c:pt idx="3">
                  <c:v>191.79018000000002</c:v>
                </c:pt>
                <c:pt idx="4">
                  <c:v>312.54696000000001</c:v>
                </c:pt>
                <c:pt idx="5">
                  <c:v>392.45953500000002</c:v>
                </c:pt>
                <c:pt idx="6">
                  <c:v>436.85541000000001</c:v>
                </c:pt>
                <c:pt idx="7">
                  <c:v>436.85541000000001</c:v>
                </c:pt>
                <c:pt idx="8">
                  <c:v>557.61219000000006</c:v>
                </c:pt>
                <c:pt idx="9">
                  <c:v>642.85227000000009</c:v>
                </c:pt>
                <c:pt idx="10">
                  <c:v>689.02398000000005</c:v>
                </c:pt>
                <c:pt idx="11">
                  <c:v>689.02398000000005</c:v>
                </c:pt>
                <c:pt idx="12">
                  <c:v>854.17663500000003</c:v>
                </c:pt>
                <c:pt idx="13">
                  <c:v>960.72673500000008</c:v>
                </c:pt>
                <c:pt idx="14">
                  <c:v>1021.105125</c:v>
                </c:pt>
                <c:pt idx="15">
                  <c:v>1021.105125</c:v>
                </c:pt>
                <c:pt idx="16">
                  <c:v>1218.22281</c:v>
                </c:pt>
                <c:pt idx="17">
                  <c:v>1326.5487450000001</c:v>
                </c:pt>
                <c:pt idx="18">
                  <c:v>1388.7029700000001</c:v>
                </c:pt>
                <c:pt idx="19">
                  <c:v>1388.7029700000001</c:v>
                </c:pt>
                <c:pt idx="20">
                  <c:v>1596.4756649999999</c:v>
                </c:pt>
                <c:pt idx="21">
                  <c:v>1708.3532699999998</c:v>
                </c:pt>
              </c:numCache>
            </c:numRef>
          </c:xVal>
          <c:yVal>
            <c:numRef>
              <c:f>Sheet3!$H$3:$H$24</c:f>
              <c:numCache>
                <c:formatCode>General</c:formatCode>
                <c:ptCount val="2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56-41CC-A71E-D9D6DABBF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139776"/>
        <c:axId val="1019138336"/>
      </c:scatterChart>
      <c:valAx>
        <c:axId val="101913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138336"/>
        <c:crosses val="autoZero"/>
        <c:crossBetween val="midCat"/>
      </c:valAx>
      <c:valAx>
        <c:axId val="101913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13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2</xdr:row>
      <xdr:rowOff>41910</xdr:rowOff>
    </xdr:from>
    <xdr:to>
      <xdr:col>19</xdr:col>
      <xdr:colOff>342900</xdr:colOff>
      <xdr:row>17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C3DFDD-57FB-2873-79DF-F38199C38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A563-1B28-4215-8911-30C5EB7739F8}">
  <dimension ref="A1:D18"/>
  <sheetViews>
    <sheetView workbookViewId="0">
      <selection activeCell="H14" sqref="H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15</v>
      </c>
      <c r="B2">
        <v>18</v>
      </c>
      <c r="C2">
        <v>11.7</v>
      </c>
      <c r="D2">
        <v>1</v>
      </c>
    </row>
    <row r="3" spans="1:4" x14ac:dyDescent="0.3">
      <c r="A3">
        <v>13</v>
      </c>
      <c r="B3">
        <v>15</v>
      </c>
      <c r="C3">
        <v>11.1</v>
      </c>
      <c r="D3">
        <v>2</v>
      </c>
    </row>
    <row r="4" spans="1:4" x14ac:dyDescent="0.3">
      <c r="A4">
        <v>11</v>
      </c>
      <c r="B4">
        <v>13</v>
      </c>
      <c r="C4">
        <v>9.3000000000000007</v>
      </c>
      <c r="D4">
        <v>3</v>
      </c>
    </row>
    <row r="5" spans="1:4" x14ac:dyDescent="0.3">
      <c r="A5">
        <v>10</v>
      </c>
      <c r="B5">
        <v>10</v>
      </c>
      <c r="C5">
        <v>6.8</v>
      </c>
      <c r="D5">
        <v>4</v>
      </c>
    </row>
    <row r="6" spans="1:4" x14ac:dyDescent="0.3">
      <c r="A6">
        <v>12</v>
      </c>
      <c r="B6">
        <v>14</v>
      </c>
      <c r="C6">
        <v>6.8</v>
      </c>
      <c r="D6">
        <v>5</v>
      </c>
    </row>
    <row r="7" spans="1:4" x14ac:dyDescent="0.3">
      <c r="A7">
        <v>16</v>
      </c>
      <c r="B7">
        <v>19</v>
      </c>
      <c r="C7">
        <v>6.4</v>
      </c>
      <c r="D7">
        <v>6</v>
      </c>
    </row>
    <row r="8" spans="1:4" x14ac:dyDescent="0.3">
      <c r="A8">
        <v>3</v>
      </c>
      <c r="B8">
        <v>3</v>
      </c>
      <c r="C8">
        <v>6.3</v>
      </c>
      <c r="D8">
        <v>1</v>
      </c>
    </row>
    <row r="9" spans="1:4" x14ac:dyDescent="0.3">
      <c r="A9">
        <v>9</v>
      </c>
      <c r="B9">
        <v>9</v>
      </c>
      <c r="C9">
        <v>6.1</v>
      </c>
      <c r="D9">
        <v>2</v>
      </c>
    </row>
    <row r="10" spans="1:4" x14ac:dyDescent="0.3">
      <c r="A10">
        <v>8</v>
      </c>
      <c r="B10">
        <v>8</v>
      </c>
      <c r="C10">
        <v>6</v>
      </c>
      <c r="D10">
        <v>3</v>
      </c>
    </row>
    <row r="11" spans="1:4" x14ac:dyDescent="0.3">
      <c r="A11">
        <v>6</v>
      </c>
      <c r="B11">
        <v>6</v>
      </c>
      <c r="C11">
        <v>4.8</v>
      </c>
      <c r="D11">
        <v>4</v>
      </c>
    </row>
    <row r="12" spans="1:4" x14ac:dyDescent="0.3">
      <c r="A12">
        <v>17</v>
      </c>
      <c r="B12">
        <v>20</v>
      </c>
      <c r="C12">
        <v>4.5</v>
      </c>
      <c r="D12">
        <v>5</v>
      </c>
    </row>
    <row r="13" spans="1:4" x14ac:dyDescent="0.3">
      <c r="A13">
        <v>7</v>
      </c>
      <c r="B13">
        <v>7</v>
      </c>
      <c r="C13">
        <v>4.4000000000000004</v>
      </c>
      <c r="D13">
        <v>6</v>
      </c>
    </row>
    <row r="14" spans="1:4" x14ac:dyDescent="0.3">
      <c r="A14">
        <v>1</v>
      </c>
      <c r="B14">
        <v>1</v>
      </c>
      <c r="C14">
        <v>3.8</v>
      </c>
      <c r="D14">
        <v>1</v>
      </c>
    </row>
    <row r="15" spans="1:4" x14ac:dyDescent="0.3">
      <c r="A15">
        <v>14</v>
      </c>
      <c r="B15">
        <v>16</v>
      </c>
      <c r="C15">
        <v>3.5</v>
      </c>
      <c r="D15">
        <v>2</v>
      </c>
    </row>
    <row r="16" spans="1:4" x14ac:dyDescent="0.3">
      <c r="A16">
        <v>2</v>
      </c>
      <c r="B16">
        <v>2</v>
      </c>
      <c r="C16">
        <v>3.4</v>
      </c>
      <c r="D16">
        <v>3</v>
      </c>
    </row>
    <row r="17" spans="1:4" x14ac:dyDescent="0.3">
      <c r="A17">
        <v>4</v>
      </c>
      <c r="B17">
        <v>4</v>
      </c>
      <c r="C17">
        <v>2.6</v>
      </c>
      <c r="D17">
        <v>4</v>
      </c>
    </row>
    <row r="18" spans="1:4" x14ac:dyDescent="0.3">
      <c r="A18">
        <v>5</v>
      </c>
      <c r="B18">
        <v>5</v>
      </c>
      <c r="C18">
        <v>2.5</v>
      </c>
      <c r="D18">
        <v>5</v>
      </c>
    </row>
  </sheetData>
  <sortState xmlns:xlrd2="http://schemas.microsoft.com/office/spreadsheetml/2017/richdata2" ref="A2:C18">
    <sortCondition descending="1" ref="C2:C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99B7-94BC-4646-93AF-ACE83F692E66}">
  <dimension ref="A1:B25"/>
  <sheetViews>
    <sheetView workbookViewId="0">
      <selection activeCell="F21" sqref="F21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1775.835</v>
      </c>
    </row>
    <row r="3" spans="1:2" x14ac:dyDescent="0.3">
      <c r="A3">
        <v>2</v>
      </c>
      <c r="B3">
        <v>1669.8150000000001</v>
      </c>
    </row>
    <row r="4" spans="1:2" x14ac:dyDescent="0.3">
      <c r="A4">
        <v>3</v>
      </c>
      <c r="B4">
        <v>1590.3</v>
      </c>
    </row>
    <row r="5" spans="1:2" x14ac:dyDescent="0.3">
      <c r="A5">
        <v>4</v>
      </c>
      <c r="B5">
        <v>1563.7950000000001</v>
      </c>
    </row>
    <row r="6" spans="1:2" x14ac:dyDescent="0.3">
      <c r="A6">
        <v>5</v>
      </c>
      <c r="B6">
        <v>1563.7950000000001</v>
      </c>
    </row>
    <row r="7" spans="1:2" x14ac:dyDescent="0.3">
      <c r="A7">
        <v>6</v>
      </c>
      <c r="B7">
        <v>1590.3</v>
      </c>
    </row>
    <row r="8" spans="1:2" x14ac:dyDescent="0.3">
      <c r="A8">
        <v>7</v>
      </c>
      <c r="B8">
        <v>1961.37</v>
      </c>
    </row>
    <row r="9" spans="1:2" x14ac:dyDescent="0.3">
      <c r="A9">
        <v>8</v>
      </c>
      <c r="B9">
        <v>2279.4299999999998</v>
      </c>
    </row>
    <row r="10" spans="1:2" x14ac:dyDescent="0.3">
      <c r="A10">
        <v>9</v>
      </c>
      <c r="B10">
        <v>2517.9749999999999</v>
      </c>
    </row>
    <row r="11" spans="1:2" x14ac:dyDescent="0.3">
      <c r="A11">
        <v>10</v>
      </c>
      <c r="B11">
        <v>2544.48</v>
      </c>
    </row>
    <row r="12" spans="1:2" x14ac:dyDescent="0.3">
      <c r="A12">
        <v>11</v>
      </c>
      <c r="B12">
        <v>2544.48</v>
      </c>
    </row>
    <row r="13" spans="1:2" x14ac:dyDescent="0.3">
      <c r="A13">
        <v>12</v>
      </c>
      <c r="B13">
        <v>2517.9749999999999</v>
      </c>
    </row>
    <row r="14" spans="1:2" x14ac:dyDescent="0.3">
      <c r="A14">
        <v>13</v>
      </c>
      <c r="B14">
        <v>2517.9749999999999</v>
      </c>
    </row>
    <row r="15" spans="1:2" x14ac:dyDescent="0.3">
      <c r="A15">
        <v>14</v>
      </c>
      <c r="B15">
        <v>2517.9749999999999</v>
      </c>
    </row>
    <row r="16" spans="1:2" x14ac:dyDescent="0.3">
      <c r="A16">
        <v>15</v>
      </c>
      <c r="B16">
        <v>2464.9650000000001</v>
      </c>
    </row>
    <row r="17" spans="1:2" x14ac:dyDescent="0.3">
      <c r="A17">
        <v>16</v>
      </c>
      <c r="B17">
        <v>2464.9650000000001</v>
      </c>
    </row>
    <row r="18" spans="1:2" x14ac:dyDescent="0.3">
      <c r="A18">
        <v>17</v>
      </c>
      <c r="B18">
        <v>2623.9949999999999</v>
      </c>
    </row>
    <row r="19" spans="1:2" x14ac:dyDescent="0.3">
      <c r="A19">
        <v>18</v>
      </c>
      <c r="B19">
        <v>2650.5</v>
      </c>
    </row>
    <row r="20" spans="1:2" x14ac:dyDescent="0.3">
      <c r="A20">
        <v>19</v>
      </c>
      <c r="B20">
        <v>2650.5</v>
      </c>
    </row>
    <row r="21" spans="1:2" x14ac:dyDescent="0.3">
      <c r="A21">
        <v>20</v>
      </c>
      <c r="B21">
        <v>2544.48</v>
      </c>
    </row>
    <row r="22" spans="1:2" x14ac:dyDescent="0.3">
      <c r="A22">
        <v>21</v>
      </c>
      <c r="B22">
        <v>2411.9549999999999</v>
      </c>
    </row>
    <row r="23" spans="1:2" x14ac:dyDescent="0.3">
      <c r="A23">
        <v>22</v>
      </c>
      <c r="B23">
        <v>2199.915</v>
      </c>
    </row>
    <row r="24" spans="1:2" x14ac:dyDescent="0.3">
      <c r="A24">
        <v>23</v>
      </c>
      <c r="B24">
        <v>1934.865</v>
      </c>
    </row>
    <row r="25" spans="1:2" x14ac:dyDescent="0.3">
      <c r="A25">
        <v>24</v>
      </c>
      <c r="B25">
        <v>1669.8150000000001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967F-0444-49DE-9456-182E57F2D39C}">
  <dimension ref="A1:H26"/>
  <sheetViews>
    <sheetView tabSelected="1" topLeftCell="C1" workbookViewId="0">
      <selection activeCell="C26" sqref="C26:H26"/>
    </sheetView>
  </sheetViews>
  <sheetFormatPr defaultRowHeight="14.4" x14ac:dyDescent="0.3"/>
  <cols>
    <col min="1" max="3" width="13.88671875" customWidth="1"/>
    <col min="4" max="8" width="15.5546875" customWidth="1"/>
  </cols>
  <sheetData>
    <row r="1" spans="1:8" x14ac:dyDescent="0.3">
      <c r="C1" s="2" t="s">
        <v>5</v>
      </c>
      <c r="D1" s="2"/>
      <c r="E1" s="2"/>
      <c r="F1" s="2"/>
      <c r="G1" s="2"/>
      <c r="H1" s="2"/>
    </row>
    <row r="2" spans="1:8" x14ac:dyDescent="0.3">
      <c r="A2" t="s">
        <v>0</v>
      </c>
      <c r="B2" t="s">
        <v>1</v>
      </c>
      <c r="C2" t="s">
        <v>2</v>
      </c>
      <c r="D2" t="s">
        <v>6</v>
      </c>
      <c r="E2" t="s">
        <v>5</v>
      </c>
      <c r="F2" t="s">
        <v>7</v>
      </c>
      <c r="G2" t="s">
        <v>8</v>
      </c>
      <c r="H2" t="s">
        <v>3</v>
      </c>
    </row>
    <row r="3" spans="1:8" x14ac:dyDescent="0.3">
      <c r="A3">
        <v>16</v>
      </c>
      <c r="B3">
        <v>19</v>
      </c>
      <c r="C3">
        <v>6.4</v>
      </c>
      <c r="D3">
        <v>6</v>
      </c>
      <c r="E3">
        <f>C3*'LoadProfile-Table3'!$B$2/100</f>
        <v>113.65344</v>
      </c>
      <c r="F3">
        <f>E3</f>
        <v>113.65344</v>
      </c>
      <c r="G3">
        <v>0</v>
      </c>
      <c r="H3">
        <f>D3</f>
        <v>6</v>
      </c>
    </row>
    <row r="4" spans="1:8" x14ac:dyDescent="0.3">
      <c r="A4">
        <v>7</v>
      </c>
      <c r="B4">
        <v>7</v>
      </c>
      <c r="C4">
        <v>4.4000000000000004</v>
      </c>
      <c r="D4">
        <v>6</v>
      </c>
      <c r="E4">
        <f>C4*'LoadProfile-Table3'!$B$2/100</f>
        <v>78.136740000000003</v>
      </c>
      <c r="F4">
        <f>E4+F3</f>
        <v>191.79018000000002</v>
      </c>
      <c r="G4">
        <f t="shared" ref="G4:G5" si="0">F3</f>
        <v>113.65344</v>
      </c>
      <c r="H4">
        <f t="shared" ref="H4" si="1">D4</f>
        <v>6</v>
      </c>
    </row>
    <row r="5" spans="1:8" x14ac:dyDescent="0.3">
      <c r="A5">
        <v>12</v>
      </c>
      <c r="B5">
        <v>14</v>
      </c>
      <c r="C5">
        <v>6.8</v>
      </c>
      <c r="D5">
        <v>5</v>
      </c>
      <c r="E5">
        <f>C5*'LoadProfile-Table3'!$B$2/100</f>
        <v>120.75677999999999</v>
      </c>
      <c r="F5">
        <f t="shared" ref="F5:F19" si="2">E5+F4</f>
        <v>312.54696000000001</v>
      </c>
      <c r="G5">
        <f>G6</f>
        <v>191.79018000000002</v>
      </c>
      <c r="H5">
        <v>6</v>
      </c>
    </row>
    <row r="6" spans="1:8" x14ac:dyDescent="0.3">
      <c r="A6">
        <v>17</v>
      </c>
      <c r="B6">
        <v>20</v>
      </c>
      <c r="C6">
        <v>4.5</v>
      </c>
      <c r="D6">
        <v>5</v>
      </c>
      <c r="E6">
        <f>C6*'LoadProfile-Table3'!$B$2/100</f>
        <v>79.912575000000004</v>
      </c>
      <c r="F6">
        <f t="shared" si="2"/>
        <v>392.45953500000002</v>
      </c>
      <c r="G6">
        <f>F4</f>
        <v>191.79018000000002</v>
      </c>
      <c r="H6">
        <f>D5</f>
        <v>5</v>
      </c>
    </row>
    <row r="7" spans="1:8" x14ac:dyDescent="0.3">
      <c r="A7">
        <v>5</v>
      </c>
      <c r="B7">
        <v>5</v>
      </c>
      <c r="C7">
        <v>2.5</v>
      </c>
      <c r="D7">
        <v>5</v>
      </c>
      <c r="E7">
        <f>C7*'LoadProfile-Table3'!$B$2/100</f>
        <v>44.395874999999997</v>
      </c>
      <c r="F7">
        <f t="shared" si="2"/>
        <v>436.85541000000001</v>
      </c>
      <c r="G7">
        <f>F5</f>
        <v>312.54696000000001</v>
      </c>
      <c r="H7">
        <f>D6</f>
        <v>5</v>
      </c>
    </row>
    <row r="8" spans="1:8" x14ac:dyDescent="0.3">
      <c r="A8">
        <v>10</v>
      </c>
      <c r="B8">
        <v>10</v>
      </c>
      <c r="C8">
        <v>6.8</v>
      </c>
      <c r="D8">
        <v>4</v>
      </c>
      <c r="E8">
        <f>C8*'LoadProfile-Table3'!$B$2/100</f>
        <v>120.75677999999999</v>
      </c>
      <c r="F8">
        <f t="shared" si="2"/>
        <v>557.61219000000006</v>
      </c>
      <c r="G8">
        <f>F6</f>
        <v>392.45953500000002</v>
      </c>
      <c r="H8">
        <f>D7</f>
        <v>5</v>
      </c>
    </row>
    <row r="9" spans="1:8" x14ac:dyDescent="0.3">
      <c r="A9">
        <v>6</v>
      </c>
      <c r="B9">
        <v>6</v>
      </c>
      <c r="C9">
        <v>4.8</v>
      </c>
      <c r="D9">
        <v>4</v>
      </c>
      <c r="E9">
        <f>C9*'LoadProfile-Table3'!$B$2/100</f>
        <v>85.240079999999992</v>
      </c>
      <c r="F9">
        <f t="shared" si="2"/>
        <v>642.85227000000009</v>
      </c>
      <c r="G9">
        <f>G10</f>
        <v>436.85541000000001</v>
      </c>
      <c r="H9">
        <v>5</v>
      </c>
    </row>
    <row r="10" spans="1:8" x14ac:dyDescent="0.3">
      <c r="A10">
        <v>4</v>
      </c>
      <c r="B10">
        <v>4</v>
      </c>
      <c r="C10">
        <v>2.6</v>
      </c>
      <c r="D10">
        <v>4</v>
      </c>
      <c r="E10">
        <f>C10*'LoadProfile-Table3'!$B$2/100</f>
        <v>46.171710000000004</v>
      </c>
      <c r="F10">
        <f t="shared" si="2"/>
        <v>689.02398000000005</v>
      </c>
      <c r="G10">
        <f>F7</f>
        <v>436.85541000000001</v>
      </c>
      <c r="H10">
        <f>D8</f>
        <v>4</v>
      </c>
    </row>
    <row r="11" spans="1:8" x14ac:dyDescent="0.3">
      <c r="A11">
        <v>11</v>
      </c>
      <c r="B11">
        <v>13</v>
      </c>
      <c r="C11">
        <v>9.3000000000000007</v>
      </c>
      <c r="D11">
        <v>3</v>
      </c>
      <c r="E11">
        <f>C11*'LoadProfile-Table3'!$B$2/100</f>
        <v>165.15265500000001</v>
      </c>
      <c r="F11">
        <f t="shared" si="2"/>
        <v>854.17663500000003</v>
      </c>
      <c r="G11">
        <f>F8</f>
        <v>557.61219000000006</v>
      </c>
      <c r="H11">
        <f>D9</f>
        <v>4</v>
      </c>
    </row>
    <row r="12" spans="1:8" x14ac:dyDescent="0.3">
      <c r="A12">
        <v>8</v>
      </c>
      <c r="B12">
        <v>8</v>
      </c>
      <c r="C12">
        <v>6</v>
      </c>
      <c r="D12">
        <v>3</v>
      </c>
      <c r="E12">
        <f>C12*'LoadProfile-Table3'!$B$2/100</f>
        <v>106.5501</v>
      </c>
      <c r="F12">
        <f t="shared" si="2"/>
        <v>960.72673500000008</v>
      </c>
      <c r="G12">
        <f>F9</f>
        <v>642.85227000000009</v>
      </c>
      <c r="H12">
        <f>D10</f>
        <v>4</v>
      </c>
    </row>
    <row r="13" spans="1:8" x14ac:dyDescent="0.3">
      <c r="A13">
        <v>2</v>
      </c>
      <c r="B13">
        <v>2</v>
      </c>
      <c r="C13">
        <v>3.4</v>
      </c>
      <c r="D13">
        <v>3</v>
      </c>
      <c r="E13">
        <f>C13*'LoadProfile-Table3'!$B$2/100</f>
        <v>60.378389999999996</v>
      </c>
      <c r="F13">
        <f t="shared" si="2"/>
        <v>1021.105125</v>
      </c>
      <c r="G13">
        <f>G14</f>
        <v>689.02398000000005</v>
      </c>
      <c r="H13">
        <v>4</v>
      </c>
    </row>
    <row r="14" spans="1:8" x14ac:dyDescent="0.3">
      <c r="A14">
        <v>13</v>
      </c>
      <c r="B14">
        <v>15</v>
      </c>
      <c r="C14">
        <v>11.1</v>
      </c>
      <c r="D14">
        <v>2</v>
      </c>
      <c r="E14">
        <f>C14*'LoadProfile-Table3'!$B$2/100</f>
        <v>197.11768499999999</v>
      </c>
      <c r="F14">
        <f t="shared" si="2"/>
        <v>1218.22281</v>
      </c>
      <c r="G14">
        <f>F10</f>
        <v>689.02398000000005</v>
      </c>
      <c r="H14">
        <f>D11</f>
        <v>3</v>
      </c>
    </row>
    <row r="15" spans="1:8" x14ac:dyDescent="0.3">
      <c r="A15">
        <v>9</v>
      </c>
      <c r="B15">
        <v>9</v>
      </c>
      <c r="C15">
        <v>6.1</v>
      </c>
      <c r="D15">
        <v>2</v>
      </c>
      <c r="E15">
        <f>C15*'LoadProfile-Table3'!$B$2/100</f>
        <v>108.32593499999999</v>
      </c>
      <c r="F15">
        <f t="shared" si="2"/>
        <v>1326.5487450000001</v>
      </c>
      <c r="G15">
        <f>F11</f>
        <v>854.17663500000003</v>
      </c>
      <c r="H15">
        <f>D12</f>
        <v>3</v>
      </c>
    </row>
    <row r="16" spans="1:8" x14ac:dyDescent="0.3">
      <c r="A16">
        <v>14</v>
      </c>
      <c r="B16">
        <v>16</v>
      </c>
      <c r="C16">
        <v>3.5</v>
      </c>
      <c r="D16">
        <v>2</v>
      </c>
      <c r="E16">
        <f>C16*'LoadProfile-Table3'!$B$2/100</f>
        <v>62.154225000000004</v>
      </c>
      <c r="F16">
        <f t="shared" si="2"/>
        <v>1388.7029700000001</v>
      </c>
      <c r="G16">
        <f>F12</f>
        <v>960.72673500000008</v>
      </c>
      <c r="H16">
        <f>D13</f>
        <v>3</v>
      </c>
    </row>
    <row r="17" spans="1:8" x14ac:dyDescent="0.3">
      <c r="A17">
        <v>15</v>
      </c>
      <c r="B17">
        <v>18</v>
      </c>
      <c r="C17">
        <v>11.7</v>
      </c>
      <c r="D17">
        <v>1</v>
      </c>
      <c r="E17">
        <f>C17*'LoadProfile-Table3'!$B$2/100</f>
        <v>207.772695</v>
      </c>
      <c r="F17">
        <f t="shared" si="2"/>
        <v>1596.4756649999999</v>
      </c>
      <c r="G17">
        <f>G18</f>
        <v>1021.105125</v>
      </c>
      <c r="H17">
        <v>3</v>
      </c>
    </row>
    <row r="18" spans="1:8" x14ac:dyDescent="0.3">
      <c r="A18">
        <v>3</v>
      </c>
      <c r="B18">
        <v>3</v>
      </c>
      <c r="C18">
        <v>6.3</v>
      </c>
      <c r="D18">
        <v>1</v>
      </c>
      <c r="E18">
        <f>C18*'LoadProfile-Table3'!$B$2/100</f>
        <v>111.877605</v>
      </c>
      <c r="F18">
        <f t="shared" si="2"/>
        <v>1708.3532699999998</v>
      </c>
      <c r="G18">
        <f>F13</f>
        <v>1021.105125</v>
      </c>
      <c r="H18">
        <f>D14</f>
        <v>2</v>
      </c>
    </row>
    <row r="19" spans="1:8" x14ac:dyDescent="0.3">
      <c r="A19">
        <v>1</v>
      </c>
      <c r="B19">
        <v>1</v>
      </c>
      <c r="C19">
        <v>3.8</v>
      </c>
      <c r="D19">
        <v>1</v>
      </c>
      <c r="E19">
        <f>C19*'LoadProfile-Table3'!$B$2/100</f>
        <v>67.481729999999999</v>
      </c>
      <c r="F19">
        <f t="shared" si="2"/>
        <v>1775.8349999999998</v>
      </c>
      <c r="G19">
        <f>F14</f>
        <v>1218.22281</v>
      </c>
      <c r="H19">
        <f>D15</f>
        <v>2</v>
      </c>
    </row>
    <row r="20" spans="1:8" x14ac:dyDescent="0.3">
      <c r="G20">
        <f>F15</f>
        <v>1326.5487450000001</v>
      </c>
      <c r="H20">
        <f>D16</f>
        <v>2</v>
      </c>
    </row>
    <row r="21" spans="1:8" x14ac:dyDescent="0.3">
      <c r="E21">
        <f>SUM(E3:E19)</f>
        <v>1775.8349999999998</v>
      </c>
      <c r="G21">
        <f>G22</f>
        <v>1388.7029700000001</v>
      </c>
      <c r="H21">
        <v>2</v>
      </c>
    </row>
    <row r="22" spans="1:8" x14ac:dyDescent="0.3">
      <c r="G22">
        <f>F16</f>
        <v>1388.7029700000001</v>
      </c>
      <c r="H22">
        <f>D17</f>
        <v>1</v>
      </c>
    </row>
    <row r="23" spans="1:8" x14ac:dyDescent="0.3">
      <c r="G23">
        <f>F17</f>
        <v>1596.4756649999999</v>
      </c>
      <c r="H23">
        <f>D18</f>
        <v>1</v>
      </c>
    </row>
    <row r="24" spans="1:8" x14ac:dyDescent="0.3">
      <c r="G24">
        <f>F18</f>
        <v>1708.3532699999998</v>
      </c>
      <c r="H24">
        <f>D19</f>
        <v>1</v>
      </c>
    </row>
    <row r="26" spans="1:8" x14ac:dyDescent="0.3">
      <c r="C26" s="2" t="s">
        <v>14</v>
      </c>
      <c r="D26" s="2"/>
      <c r="E26" s="2"/>
      <c r="F26" s="2"/>
      <c r="G26" s="2"/>
      <c r="H26" s="2"/>
    </row>
  </sheetData>
  <sortState xmlns:xlrd2="http://schemas.microsoft.com/office/spreadsheetml/2017/richdata2" ref="A3:E19">
    <sortCondition descending="1" ref="D3:D19"/>
  </sortState>
  <mergeCells count="2">
    <mergeCell ref="C1:H1"/>
    <mergeCell ref="C26:H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18C6-56A3-4C67-B734-43151681B53C}">
  <dimension ref="A1:D25"/>
  <sheetViews>
    <sheetView workbookViewId="0">
      <selection activeCell="H18" sqref="H18"/>
    </sheetView>
  </sheetViews>
  <sheetFormatPr defaultRowHeight="14.4" x14ac:dyDescent="0.3"/>
  <sheetData>
    <row r="1" spans="1:4" x14ac:dyDescent="0.3">
      <c r="A1" t="s">
        <v>1</v>
      </c>
      <c r="B1" t="s">
        <v>9</v>
      </c>
      <c r="C1" t="s">
        <v>10</v>
      </c>
      <c r="D1" t="s">
        <v>11</v>
      </c>
    </row>
    <row r="2" spans="1:4" x14ac:dyDescent="0.3">
      <c r="A2">
        <v>1</v>
      </c>
      <c r="B2">
        <v>1</v>
      </c>
      <c r="C2">
        <v>1</v>
      </c>
    </row>
    <row r="3" spans="1:4" x14ac:dyDescent="0.3">
      <c r="A3">
        <v>2</v>
      </c>
      <c r="B3">
        <v>2</v>
      </c>
      <c r="C3">
        <v>2</v>
      </c>
    </row>
    <row r="4" spans="1:4" x14ac:dyDescent="0.3">
      <c r="A4">
        <v>3</v>
      </c>
      <c r="B4">
        <v>3</v>
      </c>
      <c r="D4">
        <v>1</v>
      </c>
    </row>
    <row r="5" spans="1:4" x14ac:dyDescent="0.3">
      <c r="A5">
        <v>4</v>
      </c>
      <c r="B5">
        <v>4</v>
      </c>
    </row>
    <row r="6" spans="1:4" x14ac:dyDescent="0.3">
      <c r="A6">
        <v>5</v>
      </c>
      <c r="B6">
        <v>5</v>
      </c>
      <c r="D6">
        <v>2</v>
      </c>
    </row>
    <row r="7" spans="1:4" x14ac:dyDescent="0.3">
      <c r="A7">
        <v>6</v>
      </c>
      <c r="B7">
        <v>6</v>
      </c>
    </row>
    <row r="8" spans="1:4" x14ac:dyDescent="0.3">
      <c r="A8">
        <v>7</v>
      </c>
      <c r="B8">
        <v>7</v>
      </c>
      <c r="C8">
        <v>3</v>
      </c>
      <c r="D8">
        <v>3</v>
      </c>
    </row>
    <row r="9" spans="1:4" x14ac:dyDescent="0.3">
      <c r="A9">
        <v>8</v>
      </c>
      <c r="B9">
        <v>8</v>
      </c>
    </row>
    <row r="10" spans="1:4" x14ac:dyDescent="0.3">
      <c r="A10">
        <v>9</v>
      </c>
      <c r="B10">
        <v>9</v>
      </c>
    </row>
    <row r="11" spans="1:4" x14ac:dyDescent="0.3">
      <c r="A11">
        <v>10</v>
      </c>
      <c r="B11">
        <v>10</v>
      </c>
    </row>
    <row r="12" spans="1:4" x14ac:dyDescent="0.3">
      <c r="A12">
        <v>11</v>
      </c>
    </row>
    <row r="13" spans="1:4" x14ac:dyDescent="0.3">
      <c r="A13">
        <v>12</v>
      </c>
    </row>
    <row r="14" spans="1:4" x14ac:dyDescent="0.3">
      <c r="A14">
        <v>13</v>
      </c>
      <c r="B14">
        <v>11</v>
      </c>
    </row>
    <row r="15" spans="1:4" x14ac:dyDescent="0.3">
      <c r="A15">
        <v>14</v>
      </c>
      <c r="B15">
        <v>12</v>
      </c>
    </row>
    <row r="16" spans="1:4" x14ac:dyDescent="0.3">
      <c r="A16">
        <v>15</v>
      </c>
      <c r="B16">
        <v>13</v>
      </c>
      <c r="C16" s="1" t="s">
        <v>12</v>
      </c>
    </row>
    <row r="17" spans="1:4" x14ac:dyDescent="0.3">
      <c r="A17">
        <v>16</v>
      </c>
      <c r="B17">
        <v>14</v>
      </c>
      <c r="C17">
        <v>7</v>
      </c>
      <c r="D17">
        <v>4</v>
      </c>
    </row>
    <row r="18" spans="1:4" x14ac:dyDescent="0.3">
      <c r="A18">
        <v>17</v>
      </c>
    </row>
    <row r="19" spans="1:4" x14ac:dyDescent="0.3">
      <c r="A19">
        <v>18</v>
      </c>
      <c r="B19">
        <v>15</v>
      </c>
      <c r="C19">
        <v>8</v>
      </c>
    </row>
    <row r="20" spans="1:4" x14ac:dyDescent="0.3">
      <c r="A20">
        <v>19</v>
      </c>
      <c r="B20">
        <v>16</v>
      </c>
    </row>
    <row r="21" spans="1:4" x14ac:dyDescent="0.3">
      <c r="A21">
        <v>20</v>
      </c>
      <c r="B21">
        <v>17</v>
      </c>
    </row>
    <row r="22" spans="1:4" x14ac:dyDescent="0.3">
      <c r="A22">
        <v>21</v>
      </c>
      <c r="C22">
        <v>9</v>
      </c>
      <c r="D22">
        <v>5</v>
      </c>
    </row>
    <row r="23" spans="1:4" x14ac:dyDescent="0.3">
      <c r="A23">
        <v>22</v>
      </c>
      <c r="C23">
        <v>10</v>
      </c>
    </row>
    <row r="24" spans="1:4" x14ac:dyDescent="0.3">
      <c r="A24">
        <v>23</v>
      </c>
      <c r="C24" s="1" t="s">
        <v>13</v>
      </c>
      <c r="D24">
        <v>6</v>
      </c>
    </row>
    <row r="25" spans="1:4" x14ac:dyDescent="0.3">
      <c r="A25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4E197DEE4FA9147954CFED057FD6D15" ma:contentTypeVersion="3" ma:contentTypeDescription="Opret et nyt dokument." ma:contentTypeScope="" ma:versionID="568504fbaf6a8d0bbd2fa245c71398e2">
  <xsd:schema xmlns:xsd="http://www.w3.org/2001/XMLSchema" xmlns:xs="http://www.w3.org/2001/XMLSchema" xmlns:p="http://schemas.microsoft.com/office/2006/metadata/properties" xmlns:ns2="a570f158-0f99-46f1-a8f4-f7dc385b4f93" targetNamespace="http://schemas.microsoft.com/office/2006/metadata/properties" ma:root="true" ma:fieldsID="23bb0c7d3c9591af3a12d794e31757a7" ns2:_="">
    <xsd:import namespace="a570f158-0f99-46f1-a8f4-f7dc385b4f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0f158-0f99-46f1-a8f4-f7dc385b4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39DA88-15AC-486C-BD3B-C2F7484FDB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70f158-0f99-46f1-a8f4-f7dc385b4f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2665DC-3C6A-427F-A00C-586446ADB1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680581-371D-441B-B1A9-686C186FDD68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a570f158-0f99-46f1-a8f4-f7dc385b4f93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NodeLocationandDistributionofth</vt:lpstr>
      <vt:lpstr>LoadProfile-Table3</vt:lpstr>
      <vt:lpstr>Sheet3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Giovanni Brandolini</dc:creator>
  <cp:keywords/>
  <dc:description/>
  <cp:lastModifiedBy>Giovanni Brandolini</cp:lastModifiedBy>
  <cp:revision/>
  <dcterms:created xsi:type="dcterms:W3CDTF">2026-02-09T14:46:19Z</dcterms:created>
  <dcterms:modified xsi:type="dcterms:W3CDTF">2026-02-16T14:35:10Z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0x01010014E197DEE4FA9147954CFED057FD6D15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</Properties>
</file>